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Pricing" sheetId="1" state="visible" r:id="rId1"/>
    <sheet xmlns:r="http://schemas.openxmlformats.org/officeDocument/2006/relationships" name="Duration &amp; Convexity" sheetId="2" state="visible" r:id="rId2"/>
    <sheet xmlns:r="http://schemas.openxmlformats.org/officeDocument/2006/relationships" name="Portfolio Aggregation" sheetId="3" state="visible" r:id="rId3"/>
    <sheet xmlns:r="http://schemas.openxmlformats.org/officeDocument/2006/relationships" name="VaR Validation" sheetId="4" state="visible" r:id="rId4"/>
    <sheet xmlns:r="http://schemas.openxmlformats.org/officeDocument/2006/relationships" name="Nelson-Siegel F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1"/>
    </font>
    <font>
      <name val="Segoe UI"/>
      <b val="1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3" borderId="2" pivotButton="0" quotePrefix="0" xfId="0"/>
    <xf numFmtId="0" fontId="0" fillId="3" borderId="2" pivotButton="0" quotePrefix="0" xfId="0"/>
    <xf numFmtId="4" fontId="3" fillId="3" borderId="2" pivotButton="0" quotePrefix="0" xfId="0"/>
    <xf numFmtId="165" fontId="3" fillId="3" borderId="2" pivotButton="0" quotePrefix="0" xfId="0"/>
    <xf numFmtId="0" fontId="3" fillId="3" borderId="1" pivotButton="0" quotePrefix="0" xfId="0"/>
    <xf numFmtId="0" fontId="4" fillId="2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6" fontId="2" fillId="0" borderId="1" pivotButton="0" quotePrefix="0" xfId="0"/>
    <xf numFmtId="1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22" customWidth="1" min="9" max="9"/>
    <col width="23" customWidth="1" min="10" max="10"/>
    <col width="13" customWidth="1" min="11" max="11"/>
  </cols>
  <sheetData>
    <row r="1"/>
    <row r="2">
      <c r="B2" s="1" t="inlineStr">
        <is>
          <t>Bond Pricing Validation (Excel vs. Python)</t>
        </is>
      </c>
    </row>
    <row r="3"/>
    <row r="4">
      <c r="A4" s="2" t="inlineStr">
        <is>
          <t>Bond Name</t>
        </is>
      </c>
      <c r="B4" s="2" t="inlineStr">
        <is>
          <t>Settlement</t>
        </is>
      </c>
      <c r="C4" s="2" t="inlineStr">
        <is>
          <t>Maturity</t>
        </is>
      </c>
      <c r="D4" s="2" t="inlineStr">
        <is>
          <t>Coupon Rate</t>
        </is>
      </c>
      <c r="E4" s="2" t="inlineStr">
        <is>
          <t>YTM</t>
        </is>
      </c>
      <c r="F4" s="2" t="inlineStr">
        <is>
          <t>Redemption</t>
        </is>
      </c>
      <c r="G4" s="2" t="inlineStr">
        <is>
          <t>Frequency</t>
        </is>
      </c>
      <c r="H4" s="2" t="inlineStr">
        <is>
          <t>Basis</t>
        </is>
      </c>
      <c r="I4" s="2" t="inlineStr">
        <is>
          <t>Excel Price (Clean)</t>
        </is>
      </c>
      <c r="J4" s="2" t="inlineStr">
        <is>
          <t>Python Price (Clean)</t>
        </is>
      </c>
      <c r="K4" s="2" t="inlineStr">
        <is>
          <t>Difference</t>
        </is>
      </c>
    </row>
    <row r="5">
      <c r="A5" s="3" t="inlineStr">
        <is>
          <t>7.26% GOI 2033</t>
        </is>
      </c>
      <c r="B5" s="3" t="inlineStr">
        <is>
          <t>2024-10-31</t>
        </is>
      </c>
      <c r="C5" s="3" t="inlineStr">
        <is>
          <t>2033-10-31</t>
        </is>
      </c>
      <c r="D5" s="4" t="n">
        <v>0.0726</v>
      </c>
      <c r="E5" s="4" t="n">
        <v>0.0735</v>
      </c>
      <c r="F5" s="3" t="n">
        <v>100</v>
      </c>
      <c r="G5" s="3" t="n">
        <v>2</v>
      </c>
      <c r="H5" s="3" t="n">
        <v>4</v>
      </c>
      <c r="I5" s="5">
        <f>PRICE(B5, C5, D5, E5, F5, G5, H5)</f>
        <v/>
      </c>
      <c r="J5" s="5" t="n">
        <v>99.41498300000001</v>
      </c>
      <c r="K5" s="6">
        <f>I5-J5</f>
        <v/>
      </c>
    </row>
    <row r="6">
      <c r="A6" s="3" t="inlineStr">
        <is>
          <t>91-day T-Bill</t>
        </is>
      </c>
      <c r="B6" s="3" t="inlineStr">
        <is>
          <t>2024-10-31</t>
        </is>
      </c>
      <c r="C6" s="3" t="inlineStr">
        <is>
          <t>2025-01-30</t>
        </is>
      </c>
      <c r="D6" s="4" t="n">
        <v>0</v>
      </c>
      <c r="E6" s="4" t="n">
        <v>0.065</v>
      </c>
      <c r="F6" s="3" t="n">
        <v>100</v>
      </c>
      <c r="G6" s="3" t="n">
        <v>2</v>
      </c>
      <c r="H6" s="3" t="n">
        <v>4</v>
      </c>
      <c r="I6" s="5">
        <f>PRICE(B6, C6, D6, E6, F6, G6, H6)</f>
        <v/>
      </c>
      <c r="J6" s="5" t="n">
        <v>98.418952</v>
      </c>
      <c r="K6" s="6">
        <f>I6-J6</f>
        <v/>
      </c>
    </row>
    <row r="7">
      <c r="A7" s="3" t="inlineStr">
        <is>
          <t>8.5% AAA Corp 2027</t>
        </is>
      </c>
      <c r="B7" s="3" t="inlineStr">
        <is>
          <t>2024-10-31</t>
        </is>
      </c>
      <c r="C7" s="3" t="inlineStr">
        <is>
          <t>2027-10-31</t>
        </is>
      </c>
      <c r="D7" s="4" t="n">
        <v>0.08500000000000001</v>
      </c>
      <c r="E7" s="4" t="n">
        <v>0.082</v>
      </c>
      <c r="F7" s="3" t="n">
        <v>100</v>
      </c>
      <c r="G7" s="3" t="n">
        <v>2</v>
      </c>
      <c r="H7" s="3" t="n">
        <v>4</v>
      </c>
      <c r="I7" s="5">
        <f>PRICE(B7, C7, D7, E7, F7, G7, H7)</f>
        <v/>
      </c>
      <c r="J7" s="5" t="n">
        <v>100.783767</v>
      </c>
      <c r="K7" s="6">
        <f>I7-J7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21" customWidth="1" min="8" max="8"/>
    <col width="22" customWidth="1" min="9" max="9"/>
    <col width="14" customWidth="1" min="10" max="10"/>
    <col width="21" customWidth="1" min="11" max="11"/>
    <col width="22" customWidth="1" min="12" max="12"/>
    <col width="14" customWidth="1" min="13" max="13"/>
  </cols>
  <sheetData>
    <row r="1"/>
    <row r="2">
      <c r="B2" s="1" t="inlineStr">
        <is>
          <t>Duration &amp; Convexity Validation</t>
        </is>
      </c>
    </row>
    <row r="3"/>
    <row r="4">
      <c r="A4" s="2" t="inlineStr">
        <is>
          <t>Bond Name</t>
        </is>
      </c>
      <c r="B4" s="2" t="inlineStr">
        <is>
          <t>Settlement</t>
        </is>
      </c>
      <c r="C4" s="2" t="inlineStr">
        <is>
          <t>Maturity</t>
        </is>
      </c>
      <c r="D4" s="2" t="inlineStr">
        <is>
          <t>Coupon Rate</t>
        </is>
      </c>
      <c r="E4" s="2" t="inlineStr">
        <is>
          <t>YTM</t>
        </is>
      </c>
      <c r="F4" s="2" t="inlineStr">
        <is>
          <t>Frequency</t>
        </is>
      </c>
      <c r="G4" s="2" t="inlineStr">
        <is>
          <t>Basis</t>
        </is>
      </c>
      <c r="H4" s="2" t="inlineStr">
        <is>
          <t>Excel Macaulay Dur</t>
        </is>
      </c>
      <c r="I4" s="2" t="inlineStr">
        <is>
          <t>Python Macaulay Dur</t>
        </is>
      </c>
      <c r="J4" s="2" t="inlineStr">
        <is>
          <t>MacDur Diff</t>
        </is>
      </c>
      <c r="K4" s="2" t="inlineStr">
        <is>
          <t>Excel Modified Dur</t>
        </is>
      </c>
      <c r="L4" s="2" t="inlineStr">
        <is>
          <t>Python Modified Dur</t>
        </is>
      </c>
      <c r="M4" s="2" t="inlineStr">
        <is>
          <t>ModDur Diff</t>
        </is>
      </c>
    </row>
    <row r="5">
      <c r="A5" s="3" t="inlineStr">
        <is>
          <t>7.26% GOI 2033</t>
        </is>
      </c>
      <c r="B5" s="3" t="inlineStr">
        <is>
          <t>2024-10-31</t>
        </is>
      </c>
      <c r="C5" s="3" t="inlineStr">
        <is>
          <t>2033-10-31</t>
        </is>
      </c>
      <c r="D5" s="4" t="n">
        <v>0.0726</v>
      </c>
      <c r="E5" s="4" t="n">
        <v>0.0735</v>
      </c>
      <c r="F5" s="3" t="n">
        <v>2</v>
      </c>
      <c r="G5" s="3" t="n">
        <v>4</v>
      </c>
      <c r="H5" s="5">
        <f>DURATION(B5, C5, D5, E5, F5, G5)</f>
        <v/>
      </c>
      <c r="I5" s="5" t="n">
        <v>6.753609</v>
      </c>
      <c r="J5" s="6">
        <f>H5-I5</f>
        <v/>
      </c>
      <c r="K5" s="5">
        <f>MDURATION(B5, C5, D5, E5, F5, G5)</f>
        <v/>
      </c>
      <c r="L5" s="5" t="n">
        <v>6.514212</v>
      </c>
      <c r="M5" s="6">
        <f>K5-L5</f>
        <v/>
      </c>
    </row>
    <row r="6">
      <c r="A6" s="3" t="inlineStr">
        <is>
          <t>91-day T-Bill</t>
        </is>
      </c>
      <c r="B6" s="3" t="inlineStr">
        <is>
          <t>2024-10-31</t>
        </is>
      </c>
      <c r="C6" s="3" t="inlineStr">
        <is>
          <t>2025-01-30</t>
        </is>
      </c>
      <c r="D6" s="4" t="n">
        <v>0</v>
      </c>
      <c r="E6" s="4" t="n">
        <v>0.065</v>
      </c>
      <c r="F6" s="3" t="n">
        <v>2</v>
      </c>
      <c r="G6" s="3" t="n">
        <v>4</v>
      </c>
      <c r="H6" s="5">
        <f>DURATION(B6, C6, D6, E6, F6, G6)</f>
        <v/>
      </c>
      <c r="I6" s="5" t="n">
        <v>0.249144</v>
      </c>
      <c r="J6" s="6">
        <f>H6-I6</f>
        <v/>
      </c>
      <c r="K6" s="5">
        <f>MDURATION(B6, C6, D6, E6, F6, G6)</f>
        <v/>
      </c>
      <c r="L6" s="5" t="n">
        <v>0.241302</v>
      </c>
      <c r="M6" s="6">
        <f>K6-L6</f>
        <v/>
      </c>
    </row>
    <row r="7">
      <c r="A7" s="3" t="inlineStr">
        <is>
          <t>8.5% AAA Corp 2027</t>
        </is>
      </c>
      <c r="B7" s="3" t="inlineStr">
        <is>
          <t>2024-10-31</t>
        </is>
      </c>
      <c r="C7" s="3" t="inlineStr">
        <is>
          <t>2027-10-31</t>
        </is>
      </c>
      <c r="D7" s="4" t="n">
        <v>0.08500000000000001</v>
      </c>
      <c r="E7" s="4" t="n">
        <v>0.082</v>
      </c>
      <c r="F7" s="3" t="n">
        <v>2</v>
      </c>
      <c r="G7" s="3" t="n">
        <v>4</v>
      </c>
      <c r="H7" s="5">
        <f>DURATION(B7, C7, D7, E7, F7, G7)</f>
        <v/>
      </c>
      <c r="I7" s="5" t="n">
        <v>2.711676</v>
      </c>
      <c r="J7" s="6">
        <f>H7-I7</f>
        <v/>
      </c>
      <c r="K7" s="5">
        <f>MDURATION(B7, C7, D7, E7, F7, G7)</f>
        <v/>
      </c>
      <c r="L7" s="5" t="n">
        <v>2.604876</v>
      </c>
      <c r="M7" s="6">
        <f>K7-L7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13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8" customWidth="1" min="9" max="9"/>
    <col width="18" customWidth="1" min="10" max="10"/>
    <col width="19" customWidth="1" min="11" max="11"/>
    <col width="12" customWidth="1" min="12" max="12"/>
    <col width="18" customWidth="1" min="13" max="13"/>
    <col width="21" customWidth="1" min="14" max="14"/>
  </cols>
  <sheetData>
    <row r="1"/>
    <row r="2">
      <c r="B2" s="1" t="inlineStr">
        <is>
          <t>Portfolio Aggregation Validation</t>
        </is>
      </c>
    </row>
    <row r="3"/>
    <row r="4">
      <c r="A4" s="2" t="inlineStr">
        <is>
          <t>BondID</t>
        </is>
      </c>
      <c r="B4" s="2" t="inlineStr">
        <is>
          <t>ISIN</t>
        </is>
      </c>
      <c r="C4" s="2" t="inlineStr">
        <is>
          <t>Sector</t>
        </is>
      </c>
      <c r="D4" s="2" t="inlineStr">
        <is>
          <t>CreditRating</t>
        </is>
      </c>
      <c r="E4" s="2" t="inlineStr">
        <is>
          <t>Currency</t>
        </is>
      </c>
      <c r="F4" s="2" t="inlineStr">
        <is>
          <t>FaceValue</t>
        </is>
      </c>
      <c r="G4" s="2" t="inlineStr">
        <is>
          <t>CouponRate</t>
        </is>
      </c>
      <c r="H4" s="2" t="inlineStr">
        <is>
          <t>Quantity</t>
        </is>
      </c>
      <c r="I4" s="2" t="inlineStr">
        <is>
          <t>MarketValue_INR</t>
        </is>
      </c>
      <c r="J4" s="2" t="inlineStr">
        <is>
          <t>PortfolioWeight</t>
        </is>
      </c>
      <c r="K4" s="2" t="inlineStr">
        <is>
          <t>ModifiedDuration</t>
        </is>
      </c>
      <c r="L4" s="2" t="inlineStr">
        <is>
          <t>Convexity</t>
        </is>
      </c>
      <c r="M4" s="2" t="inlineStr">
        <is>
          <t>Weighted ModDur</t>
        </is>
      </c>
      <c r="N4" s="2" t="inlineStr">
        <is>
          <t>Weighted Convexity</t>
        </is>
      </c>
    </row>
    <row r="5">
      <c r="A5" s="7" t="inlineStr">
        <is>
          <t>ZTFI-0001</t>
        </is>
      </c>
      <c r="B5" s="7" t="inlineStr">
        <is>
          <t>IN1043321819</t>
        </is>
      </c>
      <c r="C5" s="7" t="inlineStr">
        <is>
          <t>Government</t>
        </is>
      </c>
      <c r="D5" s="7" t="inlineStr">
        <is>
          <t>SOV</t>
        </is>
      </c>
      <c r="E5" s="7" t="inlineStr">
        <is>
          <t>INR</t>
        </is>
      </c>
      <c r="F5" s="7" t="n">
        <v>100</v>
      </c>
      <c r="G5" s="7" t="n">
        <v>0.062</v>
      </c>
      <c r="H5" s="7" t="n">
        <v>100000</v>
      </c>
      <c r="I5" s="7" t="n">
        <v>99005.2</v>
      </c>
      <c r="J5" s="7" t="n">
        <v>0.003088</v>
      </c>
      <c r="K5" s="7" t="n">
        <v>1.8488</v>
      </c>
      <c r="L5" s="7" t="n">
        <v>4.4027</v>
      </c>
      <c r="M5" s="8">
        <f>K5 * J5</f>
        <v/>
      </c>
      <c r="N5" s="8">
        <f>L5 * J5</f>
        <v/>
      </c>
    </row>
    <row r="6">
      <c r="A6" s="7" t="inlineStr">
        <is>
          <t>ZTFI-0002</t>
        </is>
      </c>
      <c r="B6" s="7" t="inlineStr">
        <is>
          <t>IN7940265423</t>
        </is>
      </c>
      <c r="C6" s="7" t="inlineStr">
        <is>
          <t>Government</t>
        </is>
      </c>
      <c r="D6" s="7" t="inlineStr">
        <is>
          <t>SOV</t>
        </is>
      </c>
      <c r="E6" s="7" t="inlineStr">
        <is>
          <t>INR</t>
        </is>
      </c>
      <c r="F6" s="7" t="n">
        <v>100</v>
      </c>
      <c r="G6" s="7" t="n">
        <v>0.07729999999999999</v>
      </c>
      <c r="H6" s="7" t="n">
        <v>20000</v>
      </c>
      <c r="I6" s="7" t="n">
        <v>21826.94</v>
      </c>
      <c r="J6" s="7" t="n">
        <v>0.000681</v>
      </c>
      <c r="K6" s="7" t="n">
        <v>10.7591</v>
      </c>
      <c r="L6" s="7" t="n">
        <v>170.9441</v>
      </c>
      <c r="M6" s="8">
        <f>K6 * J6</f>
        <v/>
      </c>
      <c r="N6" s="8">
        <f>L6 * J6</f>
        <v/>
      </c>
    </row>
    <row r="7">
      <c r="A7" s="7" t="inlineStr">
        <is>
          <t>ZTFI-0003</t>
        </is>
      </c>
      <c r="B7" s="7" t="inlineStr">
        <is>
          <t>IN7816184959</t>
        </is>
      </c>
      <c r="C7" s="7" t="inlineStr">
        <is>
          <t>Government</t>
        </is>
      </c>
      <c r="D7" s="7" t="inlineStr">
        <is>
          <t>SOV</t>
        </is>
      </c>
      <c r="E7" s="7" t="inlineStr">
        <is>
          <t>INR</t>
        </is>
      </c>
      <c r="F7" s="7" t="n">
        <v>100</v>
      </c>
      <c r="G7" s="7" t="n">
        <v>0.0555</v>
      </c>
      <c r="H7" s="7" t="n">
        <v>20000</v>
      </c>
      <c r="I7" s="7" t="n">
        <v>19003.8</v>
      </c>
      <c r="J7" s="7" t="n">
        <v>0.000593</v>
      </c>
      <c r="K7" s="7" t="n">
        <v>4.2725</v>
      </c>
      <c r="L7" s="7" t="n">
        <v>21.7752</v>
      </c>
      <c r="M7" s="8">
        <f>K7 * J7</f>
        <v/>
      </c>
      <c r="N7" s="8">
        <f>L7 * J7</f>
        <v/>
      </c>
    </row>
    <row r="8">
      <c r="A8" s="7" t="inlineStr">
        <is>
          <t>ZTFI-0004</t>
        </is>
      </c>
      <c r="B8" s="7" t="inlineStr">
        <is>
          <t>IN4752553419</t>
        </is>
      </c>
      <c r="C8" s="7" t="inlineStr">
        <is>
          <t>Government</t>
        </is>
      </c>
      <c r="D8" s="7" t="inlineStr">
        <is>
          <t>SOV</t>
        </is>
      </c>
      <c r="E8" s="7" t="inlineStr">
        <is>
          <t>INR</t>
        </is>
      </c>
      <c r="F8" s="7" t="n">
        <v>100</v>
      </c>
      <c r="G8" s="7" t="n">
        <v>0.06809999999999999</v>
      </c>
      <c r="H8" s="7" t="n">
        <v>50000</v>
      </c>
      <c r="I8" s="7" t="n">
        <v>50839.15</v>
      </c>
      <c r="J8" s="7" t="n">
        <v>0.001586</v>
      </c>
      <c r="K8" s="7" t="n">
        <v>11.9397</v>
      </c>
      <c r="L8" s="7" t="n">
        <v>215.5283</v>
      </c>
      <c r="M8" s="8">
        <f>K8 * J8</f>
        <v/>
      </c>
      <c r="N8" s="8">
        <f>L8 * J8</f>
        <v/>
      </c>
    </row>
    <row r="9">
      <c r="A9" s="7" t="inlineStr">
        <is>
          <t>ZTFI-0005</t>
        </is>
      </c>
      <c r="B9" s="7" t="inlineStr">
        <is>
          <t>IN5030564139</t>
        </is>
      </c>
      <c r="C9" s="7" t="inlineStr">
        <is>
          <t>Government</t>
        </is>
      </c>
      <c r="D9" s="7" t="inlineStr">
        <is>
          <t>SOV</t>
        </is>
      </c>
      <c r="E9" s="7" t="inlineStr">
        <is>
          <t>INR</t>
        </is>
      </c>
      <c r="F9" s="7" t="n">
        <v>100</v>
      </c>
      <c r="G9" s="7" t="n">
        <v>0.075</v>
      </c>
      <c r="H9" s="7" t="n">
        <v>200000</v>
      </c>
      <c r="I9" s="7" t="n">
        <v>209725.4</v>
      </c>
      <c r="J9" s="7" t="n">
        <v>0.006542</v>
      </c>
      <c r="K9" s="7" t="n">
        <v>9.994</v>
      </c>
      <c r="L9" s="7" t="n">
        <v>142.4173</v>
      </c>
      <c r="M9" s="8">
        <f>K9 * J9</f>
        <v/>
      </c>
      <c r="N9" s="8">
        <f>L9 * J9</f>
        <v/>
      </c>
    </row>
    <row r="10">
      <c r="A10" s="7" t="inlineStr">
        <is>
          <t>ZTFI-0006</t>
        </is>
      </c>
      <c r="B10" s="7" t="inlineStr">
        <is>
          <t>IN8849696532</t>
        </is>
      </c>
      <c r="C10" s="7" t="inlineStr">
        <is>
          <t>Government</t>
        </is>
      </c>
      <c r="D10" s="7" t="inlineStr">
        <is>
          <t>SOV</t>
        </is>
      </c>
      <c r="E10" s="7" t="inlineStr">
        <is>
          <t>INR</t>
        </is>
      </c>
      <c r="F10" s="7" t="n">
        <v>100</v>
      </c>
      <c r="G10" s="7" t="n">
        <v>0.0645</v>
      </c>
      <c r="H10" s="7" t="n">
        <v>10000</v>
      </c>
      <c r="I10" s="7" t="n">
        <v>9867.43</v>
      </c>
      <c r="J10" s="7" t="n">
        <v>0.000308</v>
      </c>
      <c r="K10" s="7" t="n">
        <v>1.4014</v>
      </c>
      <c r="L10" s="7" t="n">
        <v>2.6741</v>
      </c>
      <c r="M10" s="8">
        <f>K10 * J10</f>
        <v/>
      </c>
      <c r="N10" s="8">
        <f>L10 * J10</f>
        <v/>
      </c>
    </row>
    <row r="11">
      <c r="A11" s="7" t="inlineStr">
        <is>
          <t>ZTFI-0007</t>
        </is>
      </c>
      <c r="B11" s="7" t="inlineStr">
        <is>
          <t>IN1669784801</t>
        </is>
      </c>
      <c r="C11" s="7" t="inlineStr">
        <is>
          <t>Government</t>
        </is>
      </c>
      <c r="D11" s="7" t="inlineStr">
        <is>
          <t>SOV</t>
        </is>
      </c>
      <c r="E11" s="7" t="inlineStr">
        <is>
          <t>INR</t>
        </is>
      </c>
      <c r="F11" s="7" t="n">
        <v>100</v>
      </c>
      <c r="G11" s="7" t="n">
        <v>0.0694</v>
      </c>
      <c r="H11" s="7" t="n">
        <v>20000</v>
      </c>
      <c r="I11" s="7" t="n">
        <v>19162.02</v>
      </c>
      <c r="J11" s="7" t="n">
        <v>0.000598</v>
      </c>
      <c r="K11" s="7" t="n">
        <v>11.436</v>
      </c>
      <c r="L11" s="7" t="n">
        <v>201.833</v>
      </c>
      <c r="M11" s="8">
        <f>K11 * J11</f>
        <v/>
      </c>
      <c r="N11" s="8">
        <f>L11 * J11</f>
        <v/>
      </c>
    </row>
    <row r="12">
      <c r="A12" s="7" t="inlineStr">
        <is>
          <t>ZTFI-0008</t>
        </is>
      </c>
      <c r="B12" s="7" t="inlineStr">
        <is>
          <t>IN4828148932</t>
        </is>
      </c>
      <c r="C12" s="7" t="inlineStr">
        <is>
          <t>Government</t>
        </is>
      </c>
      <c r="D12" s="7" t="inlineStr">
        <is>
          <t>SOV</t>
        </is>
      </c>
      <c r="E12" s="7" t="inlineStr">
        <is>
          <t>INR</t>
        </is>
      </c>
      <c r="F12" s="7" t="n">
        <v>100</v>
      </c>
      <c r="G12" s="7" t="n">
        <v>0.0607</v>
      </c>
      <c r="H12" s="7" t="n">
        <v>100000</v>
      </c>
      <c r="I12" s="7" t="n">
        <v>94422.89999999999</v>
      </c>
      <c r="J12" s="7" t="n">
        <v>0.002945</v>
      </c>
      <c r="K12" s="7" t="n">
        <v>4.5644</v>
      </c>
      <c r="L12" s="7" t="n">
        <v>25.0647</v>
      </c>
      <c r="M12" s="8">
        <f>K12 * J12</f>
        <v/>
      </c>
      <c r="N12" s="8">
        <f>L12 * J12</f>
        <v/>
      </c>
    </row>
    <row r="13">
      <c r="A13" s="7" t="inlineStr">
        <is>
          <t>ZTFI-0009</t>
        </is>
      </c>
      <c r="B13" s="7" t="inlineStr">
        <is>
          <t>IN1543039117</t>
        </is>
      </c>
      <c r="C13" s="7" t="inlineStr">
        <is>
          <t>Government</t>
        </is>
      </c>
      <c r="D13" s="7" t="inlineStr">
        <is>
          <t>SOV</t>
        </is>
      </c>
      <c r="E13" s="7" t="inlineStr">
        <is>
          <t>INR</t>
        </is>
      </c>
      <c r="F13" s="7" t="n">
        <v>100</v>
      </c>
      <c r="G13" s="7" t="n">
        <v>0.0733</v>
      </c>
      <c r="H13" s="7" t="n">
        <v>50000</v>
      </c>
      <c r="I13" s="7" t="n">
        <v>54175.7</v>
      </c>
      <c r="J13" s="7" t="n">
        <v>0.00169</v>
      </c>
      <c r="K13" s="7" t="n">
        <v>11.7004</v>
      </c>
      <c r="L13" s="7" t="n">
        <v>206.5622</v>
      </c>
      <c r="M13" s="8">
        <f>K13 * J13</f>
        <v/>
      </c>
      <c r="N13" s="8">
        <f>L13 * J13</f>
        <v/>
      </c>
    </row>
    <row r="14">
      <c r="A14" s="7" t="inlineStr">
        <is>
          <t>ZTFI-0010</t>
        </is>
      </c>
      <c r="B14" s="7" t="inlineStr">
        <is>
          <t>IN8346578713</t>
        </is>
      </c>
      <c r="C14" s="7" t="inlineStr">
        <is>
          <t>Government</t>
        </is>
      </c>
      <c r="D14" s="7" t="inlineStr">
        <is>
          <t>SOV</t>
        </is>
      </c>
      <c r="E14" s="7" t="inlineStr">
        <is>
          <t>INR</t>
        </is>
      </c>
      <c r="F14" s="7" t="n">
        <v>100</v>
      </c>
      <c r="G14" s="7" t="n">
        <v>0.0564</v>
      </c>
      <c r="H14" s="7" t="n">
        <v>100000</v>
      </c>
      <c r="I14" s="7" t="n">
        <v>84062.2</v>
      </c>
      <c r="J14" s="7" t="n">
        <v>0.002622</v>
      </c>
      <c r="K14" s="7" t="n">
        <v>11.6009</v>
      </c>
      <c r="L14" s="7" t="n">
        <v>197.3753</v>
      </c>
      <c r="M14" s="8">
        <f>K14 * J14</f>
        <v/>
      </c>
      <c r="N14" s="8">
        <f>L14 * J14</f>
        <v/>
      </c>
    </row>
    <row r="15">
      <c r="A15" s="7" t="inlineStr">
        <is>
          <t>ZTFI-0011</t>
        </is>
      </c>
      <c r="B15" s="7" t="inlineStr">
        <is>
          <t>IN1051834738</t>
        </is>
      </c>
      <c r="C15" s="7" t="inlineStr">
        <is>
          <t>Government</t>
        </is>
      </c>
      <c r="D15" s="7" t="inlineStr">
        <is>
          <t>SOV</t>
        </is>
      </c>
      <c r="E15" s="7" t="inlineStr">
        <is>
          <t>INR</t>
        </is>
      </c>
      <c r="F15" s="7" t="n">
        <v>100</v>
      </c>
      <c r="G15" s="7" t="n">
        <v>0.0538</v>
      </c>
      <c r="H15" s="7" t="n">
        <v>50000</v>
      </c>
      <c r="I15" s="7" t="n">
        <v>41277.4</v>
      </c>
      <c r="J15" s="7" t="n">
        <v>0.001288</v>
      </c>
      <c r="K15" s="7" t="n">
        <v>13.1957</v>
      </c>
      <c r="L15" s="7" t="n">
        <v>272.9803</v>
      </c>
      <c r="M15" s="8">
        <f>K15 * J15</f>
        <v/>
      </c>
      <c r="N15" s="8">
        <f>L15 * J15</f>
        <v/>
      </c>
    </row>
    <row r="16">
      <c r="A16" s="7" t="inlineStr">
        <is>
          <t>ZTFI-0012</t>
        </is>
      </c>
      <c r="B16" s="7" t="inlineStr">
        <is>
          <t>IN6566701065</t>
        </is>
      </c>
      <c r="C16" s="7" t="inlineStr">
        <is>
          <t>Government</t>
        </is>
      </c>
      <c r="D16" s="7" t="inlineStr">
        <is>
          <t>SOV</t>
        </is>
      </c>
      <c r="E16" s="7" t="inlineStr">
        <is>
          <t>INR</t>
        </is>
      </c>
      <c r="F16" s="7" t="n">
        <v>100</v>
      </c>
      <c r="G16" s="7" t="n">
        <v>0.0728</v>
      </c>
      <c r="H16" s="7" t="n">
        <v>50000</v>
      </c>
      <c r="I16" s="7" t="n">
        <v>51316</v>
      </c>
      <c r="J16" s="7" t="n">
        <v>0.001601</v>
      </c>
      <c r="K16" s="7" t="n">
        <v>4.4919</v>
      </c>
      <c r="L16" s="7" t="n">
        <v>24.5493</v>
      </c>
      <c r="M16" s="8">
        <f>K16 * J16</f>
        <v/>
      </c>
      <c r="N16" s="8">
        <f>L16 * J16</f>
        <v/>
      </c>
    </row>
    <row r="17">
      <c r="A17" s="7" t="inlineStr">
        <is>
          <t>ZTFI-0013</t>
        </is>
      </c>
      <c r="B17" s="7" t="inlineStr">
        <is>
          <t>IN1781080132</t>
        </is>
      </c>
      <c r="C17" s="7" t="inlineStr">
        <is>
          <t>Government</t>
        </is>
      </c>
      <c r="D17" s="7" t="inlineStr">
        <is>
          <t>SOV</t>
        </is>
      </c>
      <c r="E17" s="7" t="inlineStr">
        <is>
          <t>INR</t>
        </is>
      </c>
      <c r="F17" s="7" t="n">
        <v>100</v>
      </c>
      <c r="G17" s="7" t="n">
        <v>0.0616</v>
      </c>
      <c r="H17" s="7" t="n">
        <v>5000</v>
      </c>
      <c r="I17" s="7" t="n">
        <v>4532.6</v>
      </c>
      <c r="J17" s="7" t="n">
        <v>0.000141</v>
      </c>
      <c r="K17" s="7" t="n">
        <v>12.5661</v>
      </c>
      <c r="L17" s="7" t="n">
        <v>248.1949</v>
      </c>
      <c r="M17" s="8">
        <f>K17 * J17</f>
        <v/>
      </c>
      <c r="N17" s="8">
        <f>L17 * J17</f>
        <v/>
      </c>
    </row>
    <row r="18">
      <c r="A18" s="7" t="inlineStr">
        <is>
          <t>ZTFI-0014</t>
        </is>
      </c>
      <c r="B18" s="7" t="inlineStr">
        <is>
          <t>IN7468723430</t>
        </is>
      </c>
      <c r="C18" s="7" t="inlineStr">
        <is>
          <t>Government</t>
        </is>
      </c>
      <c r="D18" s="7" t="inlineStr">
        <is>
          <t>SOV</t>
        </is>
      </c>
      <c r="E18" s="7" t="inlineStr">
        <is>
          <t>INR</t>
        </is>
      </c>
      <c r="F18" s="7" t="n">
        <v>100</v>
      </c>
      <c r="G18" s="7" t="n">
        <v>0.0665</v>
      </c>
      <c r="H18" s="7" t="n">
        <v>5000</v>
      </c>
      <c r="I18" s="7" t="n">
        <v>4881.22</v>
      </c>
      <c r="J18" s="7" t="n">
        <v>0.000152</v>
      </c>
      <c r="K18" s="7" t="n">
        <v>13.2518</v>
      </c>
      <c r="L18" s="7" t="n">
        <v>292.4174</v>
      </c>
      <c r="M18" s="8">
        <f>K18 * J18</f>
        <v/>
      </c>
      <c r="N18" s="8">
        <f>L18 * J18</f>
        <v/>
      </c>
    </row>
    <row r="19">
      <c r="A19" s="7" t="inlineStr">
        <is>
          <t>ZTFI-0015</t>
        </is>
      </c>
      <c r="B19" s="7" t="inlineStr">
        <is>
          <t>IN8121913619</t>
        </is>
      </c>
      <c r="C19" s="7" t="inlineStr">
        <is>
          <t>Government</t>
        </is>
      </c>
      <c r="D19" s="7" t="inlineStr">
        <is>
          <t>SOV</t>
        </is>
      </c>
      <c r="E19" s="7" t="inlineStr">
        <is>
          <t>INR</t>
        </is>
      </c>
      <c r="F19" s="7" t="n">
        <v>100</v>
      </c>
      <c r="G19" s="7" t="n">
        <v>0.057</v>
      </c>
      <c r="H19" s="7" t="n">
        <v>200000</v>
      </c>
      <c r="I19" s="7" t="n">
        <v>175214.8</v>
      </c>
      <c r="J19" s="7" t="n">
        <v>0.005465</v>
      </c>
      <c r="K19" s="7" t="n">
        <v>14.2208</v>
      </c>
      <c r="L19" s="7" t="n">
        <v>343.076</v>
      </c>
      <c r="M19" s="8">
        <f>K19 * J19</f>
        <v/>
      </c>
      <c r="N19" s="8">
        <f>L19 * J19</f>
        <v/>
      </c>
    </row>
    <row r="20">
      <c r="A20" s="7" t="inlineStr">
        <is>
          <t>ZTFI-0016</t>
        </is>
      </c>
      <c r="B20" s="7" t="inlineStr">
        <is>
          <t>IN5346247510</t>
        </is>
      </c>
      <c r="C20" s="7" t="inlineStr">
        <is>
          <t>Government</t>
        </is>
      </c>
      <c r="D20" s="7" t="inlineStr">
        <is>
          <t>SOV</t>
        </is>
      </c>
      <c r="E20" s="7" t="inlineStr">
        <is>
          <t>INR</t>
        </is>
      </c>
      <c r="F20" s="7" t="n">
        <v>100</v>
      </c>
      <c r="G20" s="7" t="n">
        <v>0.0631</v>
      </c>
      <c r="H20" s="7" t="n">
        <v>10000</v>
      </c>
      <c r="I20" s="7" t="n">
        <v>9682.23</v>
      </c>
      <c r="J20" s="7" t="n">
        <v>0.000302</v>
      </c>
      <c r="K20" s="7" t="n">
        <v>11.8695</v>
      </c>
      <c r="L20" s="7" t="n">
        <v>207.9245</v>
      </c>
      <c r="M20" s="8">
        <f>K20 * J20</f>
        <v/>
      </c>
      <c r="N20" s="8">
        <f>L20 * J20</f>
        <v/>
      </c>
    </row>
    <row r="21">
      <c r="A21" s="7" t="inlineStr">
        <is>
          <t>ZTFI-0017</t>
        </is>
      </c>
      <c r="B21" s="7" t="inlineStr">
        <is>
          <t>IN3542784980</t>
        </is>
      </c>
      <c r="C21" s="7" t="inlineStr">
        <is>
          <t>Government</t>
        </is>
      </c>
      <c r="D21" s="7" t="inlineStr">
        <is>
          <t>SOV</t>
        </is>
      </c>
      <c r="E21" s="7" t="inlineStr">
        <is>
          <t>INR</t>
        </is>
      </c>
      <c r="F21" s="7" t="n">
        <v>100</v>
      </c>
      <c r="G21" s="7" t="n">
        <v>0.06900000000000001</v>
      </c>
      <c r="H21" s="7" t="n">
        <v>10000</v>
      </c>
      <c r="I21" s="7" t="n">
        <v>9626.66</v>
      </c>
      <c r="J21" s="7" t="n">
        <v>0.0003</v>
      </c>
      <c r="K21" s="7" t="n">
        <v>12.5276</v>
      </c>
      <c r="L21" s="7" t="n">
        <v>259.671</v>
      </c>
      <c r="M21" s="8">
        <f>K21 * J21</f>
        <v/>
      </c>
      <c r="N21" s="8">
        <f>L21 * J21</f>
        <v/>
      </c>
    </row>
    <row r="22">
      <c r="A22" s="7" t="inlineStr">
        <is>
          <t>ZTFI-0018</t>
        </is>
      </c>
      <c r="B22" s="7" t="inlineStr">
        <is>
          <t>IN4935348740</t>
        </is>
      </c>
      <c r="C22" s="7" t="inlineStr">
        <is>
          <t>Government</t>
        </is>
      </c>
      <c r="D22" s="7" t="inlineStr">
        <is>
          <t>SOV</t>
        </is>
      </c>
      <c r="E22" s="7" t="inlineStr">
        <is>
          <t>INR</t>
        </is>
      </c>
      <c r="F22" s="7" t="n">
        <v>100</v>
      </c>
      <c r="G22" s="7" t="n">
        <v>0.0526</v>
      </c>
      <c r="H22" s="7" t="n">
        <v>20000</v>
      </c>
      <c r="I22" s="7" t="n">
        <v>17465.6</v>
      </c>
      <c r="J22" s="7" t="n">
        <v>0.000545</v>
      </c>
      <c r="K22" s="7" t="n">
        <v>10.2792</v>
      </c>
      <c r="L22" s="7" t="n">
        <v>140.6143</v>
      </c>
      <c r="M22" s="8">
        <f>K22 * J22</f>
        <v/>
      </c>
      <c r="N22" s="8">
        <f>L22 * J22</f>
        <v/>
      </c>
    </row>
    <row r="23">
      <c r="A23" s="7" t="inlineStr">
        <is>
          <t>ZTFI-0019</t>
        </is>
      </c>
      <c r="B23" s="7" t="inlineStr">
        <is>
          <t>IN7868011280</t>
        </is>
      </c>
      <c r="C23" s="7" t="inlineStr">
        <is>
          <t>Government</t>
        </is>
      </c>
      <c r="D23" s="7" t="inlineStr">
        <is>
          <t>SOV</t>
        </is>
      </c>
      <c r="E23" s="7" t="inlineStr">
        <is>
          <t>INR</t>
        </is>
      </c>
      <c r="F23" s="7" t="n">
        <v>100</v>
      </c>
      <c r="G23" s="7" t="n">
        <v>0.0738</v>
      </c>
      <c r="H23" s="7" t="n">
        <v>5000</v>
      </c>
      <c r="I23" s="7" t="n">
        <v>5269.51</v>
      </c>
      <c r="J23" s="7" t="n">
        <v>0.000164</v>
      </c>
      <c r="K23" s="7" t="n">
        <v>12.411</v>
      </c>
      <c r="L23" s="7" t="n">
        <v>248.7361</v>
      </c>
      <c r="M23" s="8">
        <f>K23 * J23</f>
        <v/>
      </c>
      <c r="N23" s="8">
        <f>L23 * J23</f>
        <v/>
      </c>
    </row>
    <row r="24">
      <c r="A24" s="7" t="inlineStr">
        <is>
          <t>ZTFI-0020</t>
        </is>
      </c>
      <c r="B24" s="7" t="inlineStr">
        <is>
          <t>IN3315869232</t>
        </is>
      </c>
      <c r="C24" s="7" t="inlineStr">
        <is>
          <t>Government</t>
        </is>
      </c>
      <c r="D24" s="7" t="inlineStr">
        <is>
          <t>SOV</t>
        </is>
      </c>
      <c r="E24" s="7" t="inlineStr">
        <is>
          <t>INR</t>
        </is>
      </c>
      <c r="F24" s="7" t="n">
        <v>100</v>
      </c>
      <c r="G24" s="7" t="n">
        <v>0.07779999999999999</v>
      </c>
      <c r="H24" s="7" t="n">
        <v>200000</v>
      </c>
      <c r="I24" s="7" t="n">
        <v>203517.8</v>
      </c>
      <c r="J24" s="7" t="n">
        <v>0.006348</v>
      </c>
      <c r="K24" s="7" t="n">
        <v>1.3994</v>
      </c>
      <c r="L24" s="7" t="n">
        <v>2.6761</v>
      </c>
      <c r="M24" s="8">
        <f>K24 * J24</f>
        <v/>
      </c>
      <c r="N24" s="8">
        <f>L24 * J24</f>
        <v/>
      </c>
    </row>
    <row r="25">
      <c r="A25" s="7" t="inlineStr">
        <is>
          <t>ZTFI-0021</t>
        </is>
      </c>
      <c r="B25" s="7" t="inlineStr">
        <is>
          <t>IN3421607337</t>
        </is>
      </c>
      <c r="C25" s="7" t="inlineStr">
        <is>
          <t>Government</t>
        </is>
      </c>
      <c r="D25" s="7" t="inlineStr">
        <is>
          <t>SOV</t>
        </is>
      </c>
      <c r="E25" s="7" t="inlineStr">
        <is>
          <t>INR</t>
        </is>
      </c>
      <c r="F25" s="7" t="n">
        <v>100</v>
      </c>
      <c r="G25" s="7" t="n">
        <v>0.06</v>
      </c>
      <c r="H25" s="7" t="n">
        <v>50000</v>
      </c>
      <c r="I25" s="7" t="n">
        <v>45269.95</v>
      </c>
      <c r="J25" s="7" t="n">
        <v>0.001412</v>
      </c>
      <c r="K25" s="7" t="n">
        <v>8.234299999999999</v>
      </c>
      <c r="L25" s="7" t="n">
        <v>87.5277</v>
      </c>
      <c r="M25" s="8">
        <f>K25 * J25</f>
        <v/>
      </c>
      <c r="N25" s="8">
        <f>L25 * J25</f>
        <v/>
      </c>
    </row>
    <row r="26">
      <c r="A26" s="7" t="inlineStr">
        <is>
          <t>ZTFI-0022</t>
        </is>
      </c>
      <c r="B26" s="7" t="inlineStr">
        <is>
          <t>IN8685014294</t>
        </is>
      </c>
      <c r="C26" s="7" t="inlineStr">
        <is>
          <t>Government</t>
        </is>
      </c>
      <c r="D26" s="7" t="inlineStr">
        <is>
          <t>SOV</t>
        </is>
      </c>
      <c r="E26" s="7" t="inlineStr">
        <is>
          <t>INR</t>
        </is>
      </c>
      <c r="F26" s="7" t="n">
        <v>100</v>
      </c>
      <c r="G26" s="7" t="n">
        <v>0.0511</v>
      </c>
      <c r="H26" s="7" t="n">
        <v>20000</v>
      </c>
      <c r="I26" s="7" t="n">
        <v>14640.1</v>
      </c>
      <c r="J26" s="7" t="n">
        <v>0.000457</v>
      </c>
      <c r="K26" s="7" t="n">
        <v>13.2101</v>
      </c>
      <c r="L26" s="7" t="n">
        <v>289.5883</v>
      </c>
      <c r="M26" s="8">
        <f>K26 * J26</f>
        <v/>
      </c>
      <c r="N26" s="8">
        <f>L26 * J26</f>
        <v/>
      </c>
    </row>
    <row r="27">
      <c r="A27" s="7" t="inlineStr">
        <is>
          <t>ZTFI-0023</t>
        </is>
      </c>
      <c r="B27" s="7" t="inlineStr">
        <is>
          <t>IN9340608835</t>
        </is>
      </c>
      <c r="C27" s="7" t="inlineStr">
        <is>
          <t>Government</t>
        </is>
      </c>
      <c r="D27" s="7" t="inlineStr">
        <is>
          <t>SOV</t>
        </is>
      </c>
      <c r="E27" s="7" t="inlineStr">
        <is>
          <t>INR</t>
        </is>
      </c>
      <c r="F27" s="7" t="n">
        <v>100</v>
      </c>
      <c r="G27" s="7" t="n">
        <v>0.0623</v>
      </c>
      <c r="H27" s="7" t="n">
        <v>5000</v>
      </c>
      <c r="I27" s="7" t="n">
        <v>4594.96</v>
      </c>
      <c r="J27" s="7" t="n">
        <v>0.000143</v>
      </c>
      <c r="K27" s="7" t="n">
        <v>8.5967</v>
      </c>
      <c r="L27" s="7" t="n">
        <v>97.1318</v>
      </c>
      <c r="M27" s="8">
        <f>K27 * J27</f>
        <v/>
      </c>
      <c r="N27" s="8">
        <f>L27 * J27</f>
        <v/>
      </c>
    </row>
    <row r="28">
      <c r="A28" s="7" t="inlineStr">
        <is>
          <t>ZTFI-0024</t>
        </is>
      </c>
      <c r="B28" s="7" t="inlineStr">
        <is>
          <t>IN6564823662</t>
        </is>
      </c>
      <c r="C28" s="7" t="inlineStr">
        <is>
          <t>Government</t>
        </is>
      </c>
      <c r="D28" s="7" t="inlineStr">
        <is>
          <t>SOV</t>
        </is>
      </c>
      <c r="E28" s="7" t="inlineStr">
        <is>
          <t>INR</t>
        </is>
      </c>
      <c r="F28" s="7" t="n">
        <v>100</v>
      </c>
      <c r="G28" s="7" t="n">
        <v>0.0675</v>
      </c>
      <c r="H28" s="7" t="n">
        <v>20000</v>
      </c>
      <c r="I28" s="7" t="n">
        <v>18889.64</v>
      </c>
      <c r="J28" s="7" t="n">
        <v>0.000589</v>
      </c>
      <c r="K28" s="7" t="n">
        <v>8.9758</v>
      </c>
      <c r="L28" s="7" t="n">
        <v>109.3448</v>
      </c>
      <c r="M28" s="8">
        <f>K28 * J28</f>
        <v/>
      </c>
      <c r="N28" s="8">
        <f>L28 * J28</f>
        <v/>
      </c>
    </row>
    <row r="29">
      <c r="A29" s="7" t="inlineStr">
        <is>
          <t>ZTFI-0025</t>
        </is>
      </c>
      <c r="B29" s="7" t="inlineStr">
        <is>
          <t>IN7738721489</t>
        </is>
      </c>
      <c r="C29" s="7" t="inlineStr">
        <is>
          <t>Government</t>
        </is>
      </c>
      <c r="D29" s="7" t="inlineStr">
        <is>
          <t>SOV</t>
        </is>
      </c>
      <c r="E29" s="7" t="inlineStr">
        <is>
          <t>INR</t>
        </is>
      </c>
      <c r="F29" s="7" t="n">
        <v>100</v>
      </c>
      <c r="G29" s="7" t="n">
        <v>0.0596</v>
      </c>
      <c r="H29" s="7" t="n">
        <v>10000</v>
      </c>
      <c r="I29" s="7" t="n">
        <v>9594.879999999999</v>
      </c>
      <c r="J29" s="7" t="n">
        <v>0.000299</v>
      </c>
      <c r="K29" s="7" t="n">
        <v>5.2796</v>
      </c>
      <c r="L29" s="7" t="n">
        <v>33.6102</v>
      </c>
      <c r="M29" s="8">
        <f>K29 * J29</f>
        <v/>
      </c>
      <c r="N29" s="8">
        <f>L29 * J29</f>
        <v/>
      </c>
    </row>
    <row r="30">
      <c r="A30" s="7" t="inlineStr">
        <is>
          <t>ZTFI-0026</t>
        </is>
      </c>
      <c r="B30" s="7" t="inlineStr">
        <is>
          <t>IN1769367632</t>
        </is>
      </c>
      <c r="C30" s="7" t="inlineStr">
        <is>
          <t>Government</t>
        </is>
      </c>
      <c r="D30" s="7" t="inlineStr">
        <is>
          <t>SOV</t>
        </is>
      </c>
      <c r="E30" s="7" t="inlineStr">
        <is>
          <t>INR</t>
        </is>
      </c>
      <c r="F30" s="7" t="n">
        <v>100</v>
      </c>
      <c r="G30" s="7" t="n">
        <v>0.0687</v>
      </c>
      <c r="H30" s="7" t="n">
        <v>5000</v>
      </c>
      <c r="I30" s="7" t="n">
        <v>4987.23</v>
      </c>
      <c r="J30" s="7" t="n">
        <v>0.000156</v>
      </c>
      <c r="K30" s="7" t="n">
        <v>0.4822</v>
      </c>
      <c r="L30" s="7" t="n">
        <v>0.465</v>
      </c>
      <c r="M30" s="8">
        <f>K30 * J30</f>
        <v/>
      </c>
      <c r="N30" s="8">
        <f>L30 * J30</f>
        <v/>
      </c>
    </row>
    <row r="31">
      <c r="A31" s="7" t="inlineStr">
        <is>
          <t>ZTFI-0027</t>
        </is>
      </c>
      <c r="B31" s="7" t="inlineStr">
        <is>
          <t>IN8317278895</t>
        </is>
      </c>
      <c r="C31" s="7" t="inlineStr">
        <is>
          <t>Government</t>
        </is>
      </c>
      <c r="D31" s="7" t="inlineStr">
        <is>
          <t>SOV</t>
        </is>
      </c>
      <c r="E31" s="7" t="inlineStr">
        <is>
          <t>INR</t>
        </is>
      </c>
      <c r="F31" s="7" t="n">
        <v>100</v>
      </c>
      <c r="G31" s="7" t="n">
        <v>0.0771</v>
      </c>
      <c r="H31" s="7" t="n">
        <v>100000</v>
      </c>
      <c r="I31" s="7" t="n">
        <v>104761.6</v>
      </c>
      <c r="J31" s="7" t="n">
        <v>0.003268</v>
      </c>
      <c r="K31" s="7" t="n">
        <v>10.4553</v>
      </c>
      <c r="L31" s="7" t="n">
        <v>161.9512</v>
      </c>
      <c r="M31" s="8">
        <f>K31 * J31</f>
        <v/>
      </c>
      <c r="N31" s="8">
        <f>L31 * J31</f>
        <v/>
      </c>
    </row>
    <row r="32">
      <c r="A32" s="7" t="inlineStr">
        <is>
          <t>ZTFI-0028</t>
        </is>
      </c>
      <c r="B32" s="7" t="inlineStr">
        <is>
          <t>IN7743487347</t>
        </is>
      </c>
      <c r="C32" s="7" t="inlineStr">
        <is>
          <t>Government</t>
        </is>
      </c>
      <c r="D32" s="7" t="inlineStr">
        <is>
          <t>SOV</t>
        </is>
      </c>
      <c r="E32" s="7" t="inlineStr">
        <is>
          <t>INR</t>
        </is>
      </c>
      <c r="F32" s="7" t="n">
        <v>100</v>
      </c>
      <c r="G32" s="7" t="n">
        <v>0.0522</v>
      </c>
      <c r="H32" s="7" t="n">
        <v>100000</v>
      </c>
      <c r="I32" s="7" t="n">
        <v>84304.3</v>
      </c>
      <c r="J32" s="7" t="n">
        <v>0.00263</v>
      </c>
      <c r="K32" s="7" t="n">
        <v>10.1905</v>
      </c>
      <c r="L32" s="7" t="n">
        <v>138.8687</v>
      </c>
      <c r="M32" s="8">
        <f>K32 * J32</f>
        <v/>
      </c>
      <c r="N32" s="8">
        <f>L32 * J32</f>
        <v/>
      </c>
    </row>
    <row r="33">
      <c r="A33" s="7" t="inlineStr">
        <is>
          <t>ZTFI-0029</t>
        </is>
      </c>
      <c r="B33" s="7" t="inlineStr">
        <is>
          <t>IN2316658760</t>
        </is>
      </c>
      <c r="C33" s="7" t="inlineStr">
        <is>
          <t>Government</t>
        </is>
      </c>
      <c r="D33" s="7" t="inlineStr">
        <is>
          <t>SOV</t>
        </is>
      </c>
      <c r="E33" s="7" t="inlineStr">
        <is>
          <t>INR</t>
        </is>
      </c>
      <c r="F33" s="7" t="n">
        <v>100</v>
      </c>
      <c r="G33" s="7" t="n">
        <v>0.0559</v>
      </c>
      <c r="H33" s="7" t="n">
        <v>200000</v>
      </c>
      <c r="I33" s="7" t="n">
        <v>162993.4</v>
      </c>
      <c r="J33" s="7" t="n">
        <v>0.005084</v>
      </c>
      <c r="K33" s="7" t="n">
        <v>11.3735</v>
      </c>
      <c r="L33" s="7" t="n">
        <v>189.5821</v>
      </c>
      <c r="M33" s="8">
        <f>K33 * J33</f>
        <v/>
      </c>
      <c r="N33" s="8">
        <f>L33 * J33</f>
        <v/>
      </c>
    </row>
    <row r="34">
      <c r="A34" s="7" t="inlineStr">
        <is>
          <t>ZTFI-0030</t>
        </is>
      </c>
      <c r="B34" s="7" t="inlineStr">
        <is>
          <t>IN0546688937</t>
        </is>
      </c>
      <c r="C34" s="7" t="inlineStr">
        <is>
          <t>Government</t>
        </is>
      </c>
      <c r="D34" s="7" t="inlineStr">
        <is>
          <t>SOV</t>
        </is>
      </c>
      <c r="E34" s="7" t="inlineStr">
        <is>
          <t>INR</t>
        </is>
      </c>
      <c r="F34" s="7" t="n">
        <v>100</v>
      </c>
      <c r="G34" s="7" t="n">
        <v>0.0563</v>
      </c>
      <c r="H34" s="7" t="n">
        <v>200000</v>
      </c>
      <c r="I34" s="7" t="n">
        <v>171848.4</v>
      </c>
      <c r="J34" s="7" t="n">
        <v>0.00536</v>
      </c>
      <c r="K34" s="7" t="n">
        <v>11.4783</v>
      </c>
      <c r="L34" s="7" t="n">
        <v>189.8718</v>
      </c>
      <c r="M34" s="8">
        <f>K34 * J34</f>
        <v/>
      </c>
      <c r="N34" s="8">
        <f>L34 * J34</f>
        <v/>
      </c>
    </row>
    <row r="35"/>
    <row r="36">
      <c r="A36" s="9" t="inlineStr">
        <is>
          <t>Portfolio Totals</t>
        </is>
      </c>
      <c r="B36" s="10" t="n"/>
      <c r="C36" s="10" t="n"/>
      <c r="D36" s="10" t="n"/>
      <c r="E36" s="10" t="n"/>
      <c r="F36" s="10" t="n"/>
      <c r="G36" s="10" t="n"/>
      <c r="H36" s="10" t="n"/>
      <c r="I36" s="11">
        <f>SUM(I5:I34)</f>
        <v/>
      </c>
      <c r="J36" s="12">
        <f>SUM(J5:J34)</f>
        <v/>
      </c>
      <c r="K36" s="10" t="n"/>
      <c r="L36" s="10" t="n"/>
      <c r="M36" s="12">
        <f>SUM(M5:M34)</f>
        <v/>
      </c>
      <c r="N36" s="12">
        <f>SUM(N5:N34)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4" customWidth="1" min="3" max="3"/>
    <col width="12" customWidth="1" min="4" max="4"/>
    <col width="12" customWidth="1" min="5" max="5"/>
    <col width="14" customWidth="1" min="6" max="6"/>
    <col width="22" customWidth="1" min="7" max="7"/>
  </cols>
  <sheetData>
    <row r="1"/>
    <row r="2">
      <c r="B2" s="1" t="inlineStr">
        <is>
          <t>Monte Carlo VaR vs. Parametric VaR</t>
        </is>
      </c>
    </row>
    <row r="3"/>
    <row r="4">
      <c r="B4" s="13" t="inlineStr">
        <is>
          <t>Risk Model Metrics</t>
        </is>
      </c>
      <c r="C4" s="13" t="inlineStr">
        <is>
          <t>Value (INR)</t>
        </is>
      </c>
      <c r="F4" s="14" t="inlineStr">
        <is>
          <t>Scenario ID</t>
        </is>
      </c>
      <c r="G4" s="14" t="inlineStr">
        <is>
          <t>Simulated P&amp;L (INR)</t>
        </is>
      </c>
    </row>
    <row r="5">
      <c r="B5" s="3" t="inlineStr">
        <is>
          <t>Total Portfolio MV</t>
        </is>
      </c>
      <c r="C5" s="3" t="n">
        <v>32059345.97</v>
      </c>
      <c r="F5" s="3" t="n">
        <v>1</v>
      </c>
      <c r="G5" s="15" t="n">
        <v>-805424.985650375</v>
      </c>
    </row>
    <row r="6">
      <c r="B6" s="3" t="inlineStr">
        <is>
          <t>Portfolio ModDur</t>
        </is>
      </c>
      <c r="C6" s="3" t="n">
        <v>4.2031</v>
      </c>
      <c r="F6" s="3" t="n">
        <v>2</v>
      </c>
      <c r="G6" s="15" t="n">
        <v>10770.20395560563</v>
      </c>
    </row>
    <row r="7">
      <c r="B7" s="3" t="inlineStr">
        <is>
          <t>Portfolio Convexity</t>
        </is>
      </c>
      <c r="C7" s="3" t="n">
        <v>176.2455</v>
      </c>
      <c r="F7" s="3" t="n">
        <v>3</v>
      </c>
      <c r="G7" s="15" t="n">
        <v>-677021.9823631297</v>
      </c>
    </row>
    <row r="8">
      <c r="B8" s="3" t="inlineStr">
        <is>
          <t>Yield Volatility (100bps)</t>
        </is>
      </c>
      <c r="C8" s="3" t="n">
        <v>0.01</v>
      </c>
      <c r="F8" s="3" t="n">
        <v>4</v>
      </c>
      <c r="G8" s="15" t="n">
        <v>-1169560.456043663</v>
      </c>
    </row>
    <row r="9">
      <c r="B9" s="3" t="inlineStr">
        <is>
          <t>95% Z-Score</t>
        </is>
      </c>
      <c r="C9" s="3" t="n">
        <v>1.64485</v>
      </c>
      <c r="F9" s="3" t="n">
        <v>5</v>
      </c>
      <c r="G9" s="15" t="n">
        <v>315348.019579805</v>
      </c>
    </row>
    <row r="10">
      <c r="B10" s="3" t="inlineStr">
        <is>
          <t>99% Z-Score</t>
        </is>
      </c>
      <c r="C10" s="3" t="n">
        <v>2.32635</v>
      </c>
      <c r="F10" s="3" t="n">
        <v>6</v>
      </c>
      <c r="G10" s="15" t="n">
        <v>225558.4309823502</v>
      </c>
    </row>
    <row r="11">
      <c r="B11" s="16" t="inlineStr">
        <is>
          <t>95% Parametric VaR</t>
        </is>
      </c>
      <c r="C11" s="17">
        <f>-(C6 * C9 * C8 - 0.5 * C7 * POWER(C9*C8, 2)) * C5</f>
        <v/>
      </c>
      <c r="F11" s="3" t="n">
        <v>7</v>
      </c>
      <c r="G11" s="15" t="n">
        <v>-1522721.707715989</v>
      </c>
    </row>
    <row r="12">
      <c r="B12" s="16" t="inlineStr">
        <is>
          <t>99% Parametric VaR</t>
        </is>
      </c>
      <c r="C12" s="17">
        <f>-(C6 * C10 * C8 - 0.5 * C7 * POWER(C10*C8, 2)) * C5</f>
        <v/>
      </c>
      <c r="F12" s="3" t="n">
        <v>8</v>
      </c>
      <c r="G12" s="15" t="n">
        <v>-897470.7740543509</v>
      </c>
    </row>
    <row r="13">
      <c r="B13" s="7" t="n"/>
      <c r="C13" s="7" t="n"/>
      <c r="F13" s="3" t="n">
        <v>9</v>
      </c>
      <c r="G13" s="15" t="n">
        <v>414999.9967579005</v>
      </c>
    </row>
    <row r="14">
      <c r="B14" s="16" t="inlineStr">
        <is>
          <t>95% MC VaR (Formula)</t>
        </is>
      </c>
      <c r="C14" s="17">
        <f>PERCENTILE(G5:G104, 0.05)</f>
        <v/>
      </c>
      <c r="F14" s="3" t="n">
        <v>10</v>
      </c>
      <c r="G14" s="15" t="n">
        <v>-580989.0303750932</v>
      </c>
    </row>
    <row r="15">
      <c r="B15" s="16" t="inlineStr">
        <is>
          <t>95% MC CVaR (Expected Shortfall)</t>
        </is>
      </c>
      <c r="C15" s="17">
        <f>AVERAGEIF(G5:G104, "&lt;="&amp;C14)</f>
        <v/>
      </c>
      <c r="F15" s="3" t="n">
        <v>11</v>
      </c>
      <c r="G15" s="15" t="n">
        <v>514090.7571226405</v>
      </c>
    </row>
    <row r="16">
      <c r="F16" s="3" t="n">
        <v>12</v>
      </c>
      <c r="G16" s="15" t="n">
        <v>680576.6057952767</v>
      </c>
    </row>
    <row r="17">
      <c r="F17" s="3" t="n">
        <v>13</v>
      </c>
      <c r="G17" s="15" t="n">
        <v>-656124.3832333665</v>
      </c>
    </row>
    <row r="18">
      <c r="F18" s="3" t="n">
        <v>14</v>
      </c>
      <c r="G18" s="15" t="n">
        <v>3720865.697664334</v>
      </c>
    </row>
    <row r="19">
      <c r="F19" s="3" t="n">
        <v>15</v>
      </c>
      <c r="G19" s="15" t="n">
        <v>2673027.206166345</v>
      </c>
    </row>
    <row r="20">
      <c r="F20" s="3" t="n">
        <v>16</v>
      </c>
      <c r="G20" s="15" t="n">
        <v>793182.5824097018</v>
      </c>
    </row>
    <row r="21">
      <c r="F21" s="3" t="n">
        <v>17</v>
      </c>
      <c r="G21" s="15" t="n">
        <v>1752538.333469251</v>
      </c>
    </row>
    <row r="22">
      <c r="F22" s="3" t="n">
        <v>18</v>
      </c>
      <c r="G22" s="15" t="n">
        <v>-140162.0771781966</v>
      </c>
    </row>
    <row r="23">
      <c r="F23" s="3" t="n">
        <v>19</v>
      </c>
      <c r="G23" s="15" t="n">
        <v>1429403.5188017</v>
      </c>
    </row>
    <row r="24">
      <c r="F24" s="3" t="n">
        <v>20</v>
      </c>
      <c r="G24" s="15" t="n">
        <v>2399691.424789015</v>
      </c>
    </row>
    <row r="25">
      <c r="F25" s="3" t="n">
        <v>21</v>
      </c>
      <c r="G25" s="15" t="n">
        <v>-1403047.821986706</v>
      </c>
    </row>
    <row r="26">
      <c r="F26" s="3" t="n">
        <v>22</v>
      </c>
      <c r="G26" s="15" t="n">
        <v>401858.580276765</v>
      </c>
    </row>
    <row r="27">
      <c r="F27" s="3" t="n">
        <v>23</v>
      </c>
      <c r="G27" s="15" t="n">
        <v>-178667.0746545166</v>
      </c>
    </row>
    <row r="28">
      <c r="F28" s="3" t="n">
        <v>24</v>
      </c>
      <c r="G28" s="15" t="n">
        <v>2088271.072327988</v>
      </c>
    </row>
    <row r="29">
      <c r="F29" s="3" t="n">
        <v>25</v>
      </c>
      <c r="G29" s="15" t="n">
        <v>661285.5520162479</v>
      </c>
    </row>
    <row r="30">
      <c r="F30" s="3" t="n">
        <v>26</v>
      </c>
      <c r="G30" s="15" t="n">
        <v>-240542.6151554418</v>
      </c>
    </row>
    <row r="31">
      <c r="F31" s="3" t="n">
        <v>27</v>
      </c>
      <c r="G31" s="15" t="n">
        <v>1731277.747833212</v>
      </c>
    </row>
    <row r="32">
      <c r="F32" s="3" t="n">
        <v>28</v>
      </c>
      <c r="G32" s="15" t="n">
        <v>-559962.4374751896</v>
      </c>
    </row>
    <row r="33">
      <c r="F33" s="3" t="n">
        <v>29</v>
      </c>
      <c r="G33" s="15" t="n">
        <v>743859.2333670947</v>
      </c>
    </row>
    <row r="34">
      <c r="F34" s="3" t="n">
        <v>30</v>
      </c>
      <c r="G34" s="15" t="n">
        <v>641477.0915676095</v>
      </c>
    </row>
    <row r="35">
      <c r="F35" s="3" t="n">
        <v>31</v>
      </c>
      <c r="G35" s="15" t="n">
        <v>876540.1226105008</v>
      </c>
    </row>
    <row r="36">
      <c r="F36" s="3" t="n">
        <v>32</v>
      </c>
      <c r="G36" s="15" t="n">
        <v>-1031520.226608056</v>
      </c>
    </row>
    <row r="37">
      <c r="F37" s="3" t="n">
        <v>33</v>
      </c>
      <c r="G37" s="15" t="n">
        <v>-96055.24909965784</v>
      </c>
    </row>
    <row r="38">
      <c r="F38" s="3" t="n">
        <v>34</v>
      </c>
      <c r="G38" s="15" t="n">
        <v>1523125.289796913</v>
      </c>
    </row>
    <row r="39">
      <c r="F39" s="3" t="n">
        <v>35</v>
      </c>
      <c r="G39" s="15" t="n">
        <v>-855376.7123596526</v>
      </c>
    </row>
    <row r="40">
      <c r="F40" s="3" t="n">
        <v>36</v>
      </c>
      <c r="G40" s="15" t="n">
        <v>1493977.484742328</v>
      </c>
    </row>
    <row r="41">
      <c r="F41" s="3" t="n">
        <v>37</v>
      </c>
      <c r="G41" s="15" t="n">
        <v>-42313.02243981661</v>
      </c>
    </row>
    <row r="42">
      <c r="F42" s="3" t="n">
        <v>38</v>
      </c>
      <c r="G42" s="15" t="n">
        <v>3955556.199749735</v>
      </c>
    </row>
    <row r="43">
      <c r="F43" s="3" t="n">
        <v>39</v>
      </c>
      <c r="G43" s="15" t="n">
        <v>2178545.845884987</v>
      </c>
    </row>
    <row r="44">
      <c r="F44" s="3" t="n">
        <v>40</v>
      </c>
      <c r="G44" s="15" t="n">
        <v>-326803.5335196353</v>
      </c>
    </row>
    <row r="45">
      <c r="F45" s="3" t="n">
        <v>41</v>
      </c>
      <c r="G45" s="15" t="n">
        <v>-1090028.758147815</v>
      </c>
    </row>
    <row r="46">
      <c r="F46" s="3" t="n">
        <v>42</v>
      </c>
      <c r="G46" s="15" t="n">
        <v>-93304.30628565385</v>
      </c>
    </row>
    <row r="47">
      <c r="F47" s="3" t="n">
        <v>43</v>
      </c>
      <c r="G47" s="15" t="n">
        <v>-23785.83006428824</v>
      </c>
    </row>
    <row r="48">
      <c r="F48" s="3" t="n">
        <v>44</v>
      </c>
      <c r="G48" s="15" t="n">
        <v>413034.6790226074</v>
      </c>
    </row>
    <row r="49">
      <c r="F49" s="3" t="n">
        <v>45</v>
      </c>
      <c r="G49" s="15" t="n">
        <v>2628872.165033731</v>
      </c>
    </row>
    <row r="50">
      <c r="F50" s="3" t="n">
        <v>46</v>
      </c>
      <c r="G50" s="15" t="n">
        <v>824016.1539130139</v>
      </c>
    </row>
    <row r="51">
      <c r="F51" s="3" t="n">
        <v>47</v>
      </c>
      <c r="G51" s="15" t="n">
        <v>527485.826312363</v>
      </c>
    </row>
    <row r="52">
      <c r="F52" s="3" t="n">
        <v>48</v>
      </c>
      <c r="G52" s="15" t="n">
        <v>-740791.1727262437</v>
      </c>
    </row>
    <row r="53">
      <c r="F53" s="3" t="n">
        <v>49</v>
      </c>
      <c r="G53" s="15" t="n">
        <v>-683353.3104707119</v>
      </c>
    </row>
    <row r="54">
      <c r="F54" s="3" t="n">
        <v>50</v>
      </c>
      <c r="G54" s="15" t="n">
        <v>2879164.603162064</v>
      </c>
    </row>
    <row r="55">
      <c r="F55" s="3" t="n">
        <v>51</v>
      </c>
      <c r="G55" s="15" t="n">
        <v>-325005.2444158843</v>
      </c>
    </row>
    <row r="56">
      <c r="F56" s="3" t="n">
        <v>52</v>
      </c>
      <c r="G56" s="15" t="n">
        <v>524512.0539267709</v>
      </c>
    </row>
    <row r="57">
      <c r="F57" s="3" t="n">
        <v>53</v>
      </c>
      <c r="G57" s="15" t="n">
        <v>956169.879329977</v>
      </c>
    </row>
    <row r="58">
      <c r="F58" s="3" t="n">
        <v>54</v>
      </c>
      <c r="G58" s="15" t="n">
        <v>-718105.9208024584</v>
      </c>
    </row>
    <row r="59">
      <c r="F59" s="3" t="n">
        <v>55</v>
      </c>
      <c r="G59" s="15" t="n">
        <v>-831381.4202265465</v>
      </c>
    </row>
    <row r="60">
      <c r="F60" s="3" t="n">
        <v>56</v>
      </c>
      <c r="G60" s="15" t="n">
        <v>-770731.1205313625</v>
      </c>
    </row>
    <row r="61">
      <c r="F61" s="3" t="n">
        <v>57</v>
      </c>
      <c r="G61" s="15" t="n">
        <v>1326821.880700309</v>
      </c>
    </row>
    <row r="62">
      <c r="F62" s="3" t="n">
        <v>58</v>
      </c>
      <c r="G62" s="15" t="n">
        <v>131907.1731543751</v>
      </c>
    </row>
    <row r="63">
      <c r="F63" s="3" t="n">
        <v>59</v>
      </c>
      <c r="G63" s="15" t="n">
        <v>-525878.4694581563</v>
      </c>
    </row>
    <row r="64">
      <c r="F64" s="3" t="n">
        <v>60</v>
      </c>
      <c r="G64" s="15" t="n">
        <v>-936675.4067904104</v>
      </c>
    </row>
    <row r="65">
      <c r="F65" s="3" t="n">
        <v>61</v>
      </c>
      <c r="G65" s="15" t="n">
        <v>471882.8614112336</v>
      </c>
    </row>
    <row r="66">
      <c r="F66" s="3" t="n">
        <v>62</v>
      </c>
      <c r="G66" s="15" t="n">
        <v>828275.8215390112</v>
      </c>
    </row>
    <row r="67">
      <c r="F67" s="3" t="n">
        <v>63</v>
      </c>
      <c r="G67" s="15" t="n">
        <v>1524160.568055966</v>
      </c>
    </row>
    <row r="68">
      <c r="F68" s="3" t="n">
        <v>64</v>
      </c>
      <c r="G68" s="15" t="n">
        <v>2310309.717553568</v>
      </c>
    </row>
    <row r="69">
      <c r="F69" s="3" t="n">
        <v>65</v>
      </c>
      <c r="G69" s="15" t="n">
        <v>-814294.3325698391</v>
      </c>
    </row>
    <row r="70">
      <c r="F70" s="3" t="n">
        <v>66</v>
      </c>
      <c r="G70" s="15" t="n">
        <v>-974981.8863836935</v>
      </c>
    </row>
    <row r="71">
      <c r="F71" s="3" t="n">
        <v>67</v>
      </c>
      <c r="G71" s="15" t="n">
        <v>527211.2900415991</v>
      </c>
    </row>
    <row r="72">
      <c r="F72" s="3" t="n">
        <v>68</v>
      </c>
      <c r="G72" s="15" t="n">
        <v>-1239210.089626012</v>
      </c>
    </row>
    <row r="73">
      <c r="F73" s="3" t="n">
        <v>69</v>
      </c>
      <c r="G73" s="15" t="n">
        <v>-440613.3959892505</v>
      </c>
    </row>
    <row r="74">
      <c r="F74" s="3" t="n">
        <v>70</v>
      </c>
      <c r="G74" s="15" t="n">
        <v>819260.0024678129</v>
      </c>
    </row>
    <row r="75">
      <c r="F75" s="3" t="n">
        <v>71</v>
      </c>
      <c r="G75" s="15" t="n">
        <v>-491561.4573771015</v>
      </c>
    </row>
    <row r="76">
      <c r="F76" s="3" t="n">
        <v>72</v>
      </c>
      <c r="G76" s="15" t="n">
        <v>-1510428.282158719</v>
      </c>
    </row>
    <row r="77">
      <c r="F77" s="3" t="n">
        <v>73</v>
      </c>
      <c r="G77" s="15" t="n">
        <v>25192.18864697205</v>
      </c>
    </row>
    <row r="78">
      <c r="F78" s="3" t="n">
        <v>74</v>
      </c>
      <c r="G78" s="15" t="n">
        <v>-1096543.898217311</v>
      </c>
    </row>
    <row r="79">
      <c r="F79" s="3" t="n">
        <v>75</v>
      </c>
      <c r="G79" s="15" t="n">
        <v>5183091.324199055</v>
      </c>
    </row>
    <row r="80">
      <c r="F80" s="3" t="n">
        <v>76</v>
      </c>
      <c r="G80" s="15" t="n">
        <v>-754413.6460822972</v>
      </c>
    </row>
    <row r="81">
      <c r="F81" s="3" t="n">
        <v>77</v>
      </c>
      <c r="G81" s="15" t="n">
        <v>155531.0744827298</v>
      </c>
    </row>
    <row r="82">
      <c r="F82" s="3" t="n">
        <v>78</v>
      </c>
      <c r="G82" s="15" t="n">
        <v>412508.0426081485</v>
      </c>
    </row>
    <row r="83">
      <c r="F83" s="3" t="n">
        <v>79</v>
      </c>
      <c r="G83" s="15" t="n">
        <v>-405882.928707748</v>
      </c>
    </row>
    <row r="84">
      <c r="F84" s="3" t="n">
        <v>80</v>
      </c>
      <c r="G84" s="15" t="n">
        <v>3557241.579655051</v>
      </c>
    </row>
    <row r="85">
      <c r="F85" s="3" t="n">
        <v>81</v>
      </c>
      <c r="G85" s="15" t="n">
        <v>368085.0302364122</v>
      </c>
    </row>
    <row r="86">
      <c r="F86" s="3" t="n">
        <v>82</v>
      </c>
      <c r="G86" s="15" t="n">
        <v>-400585.08494858</v>
      </c>
    </row>
    <row r="87">
      <c r="F87" s="3" t="n">
        <v>83</v>
      </c>
      <c r="G87" s="15" t="n">
        <v>-1132973.476521894</v>
      </c>
    </row>
    <row r="88">
      <c r="F88" s="3" t="n">
        <v>84</v>
      </c>
      <c r="G88" s="15" t="n">
        <v>498280.522769143</v>
      </c>
    </row>
    <row r="89">
      <c r="F89" s="3" t="n">
        <v>85</v>
      </c>
      <c r="G89" s="15" t="n">
        <v>1196735.931013922</v>
      </c>
    </row>
    <row r="90">
      <c r="F90" s="3" t="n">
        <v>86</v>
      </c>
      <c r="G90" s="15" t="n">
        <v>723543.378854005</v>
      </c>
    </row>
    <row r="91">
      <c r="F91" s="3" t="n">
        <v>87</v>
      </c>
      <c r="G91" s="15" t="n">
        <v>-1119921.849726814</v>
      </c>
    </row>
    <row r="92">
      <c r="F92" s="3" t="n">
        <v>88</v>
      </c>
      <c r="G92" s="15" t="n">
        <v>-433008.1559430562</v>
      </c>
    </row>
    <row r="93">
      <c r="F93" s="3" t="n">
        <v>89</v>
      </c>
      <c r="G93" s="15" t="n">
        <v>850576.6231915465</v>
      </c>
    </row>
    <row r="94">
      <c r="F94" s="3" t="n">
        <v>90</v>
      </c>
      <c r="G94" s="15" t="n">
        <v>-656066.447110571</v>
      </c>
    </row>
    <row r="95">
      <c r="F95" s="3" t="n">
        <v>91</v>
      </c>
      <c r="G95" s="15" t="n">
        <v>-132346.894241369</v>
      </c>
    </row>
    <row r="96">
      <c r="F96" s="3" t="n">
        <v>92</v>
      </c>
      <c r="G96" s="15" t="n">
        <v>-1005612.091055526</v>
      </c>
    </row>
    <row r="97">
      <c r="F97" s="3" t="n">
        <v>93</v>
      </c>
      <c r="G97" s="15" t="n">
        <v>860529.2937156355</v>
      </c>
    </row>
    <row r="98">
      <c r="F98" s="3" t="n">
        <v>94</v>
      </c>
      <c r="G98" s="15" t="n">
        <v>526416.7471407019</v>
      </c>
    </row>
    <row r="99">
      <c r="F99" s="3" t="n">
        <v>95</v>
      </c>
      <c r="G99" s="15" t="n">
        <v>331839.3203016804</v>
      </c>
    </row>
    <row r="100">
      <c r="F100" s="3" t="n">
        <v>96</v>
      </c>
      <c r="G100" s="15" t="n">
        <v>2525266.438040648</v>
      </c>
    </row>
    <row r="101">
      <c r="F101" s="3" t="n">
        <v>97</v>
      </c>
      <c r="G101" s="15" t="n">
        <v>-422965.0159441858</v>
      </c>
    </row>
    <row r="102">
      <c r="F102" s="3" t="n">
        <v>98</v>
      </c>
      <c r="G102" s="15" t="n">
        <v>155500.4603621164</v>
      </c>
    </row>
    <row r="103">
      <c r="F103" s="3" t="n">
        <v>99</v>
      </c>
      <c r="G103" s="15" t="n">
        <v>-78299.06909076206</v>
      </c>
    </row>
    <row r="104">
      <c r="F104" s="3" t="n">
        <v>100</v>
      </c>
      <c r="G104" s="15" t="n">
        <v>192379.0066713502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2" customWidth="1" min="4" max="4"/>
    <col width="12" customWidth="1" min="5" max="5"/>
    <col width="15" customWidth="1" min="6" max="6"/>
    <col width="28" customWidth="1" min="7" max="7"/>
    <col width="16" customWidth="1" min="8" max="8"/>
  </cols>
  <sheetData>
    <row r="1"/>
    <row r="2">
      <c r="B2" s="1" t="inlineStr">
        <is>
          <t>Nelson-Siegel Yield Curve Fit</t>
        </is>
      </c>
    </row>
    <row r="3"/>
    <row r="4">
      <c r="B4" s="13" t="inlineStr">
        <is>
          <t>NS Parameter</t>
        </is>
      </c>
      <c r="C4" s="13" t="inlineStr">
        <is>
          <t>Optimized Value</t>
        </is>
      </c>
      <c r="E4" s="14" t="inlineStr">
        <is>
          <t>Tenor (Y)</t>
        </is>
      </c>
      <c r="F4" s="14" t="inlineStr">
        <is>
          <t>Actual Yield</t>
        </is>
      </c>
      <c r="G4" s="14" t="inlineStr">
        <is>
          <t>NS Fitted Yield (Formula)</t>
        </is>
      </c>
      <c r="H4" s="14" t="inlineStr">
        <is>
          <t>Squared Error</t>
        </is>
      </c>
    </row>
    <row r="5">
      <c r="B5" s="3" t="inlineStr">
        <is>
          <t>beta0 (Level)</t>
        </is>
      </c>
      <c r="C5" s="3" t="n">
        <v>0.080709</v>
      </c>
      <c r="E5" s="3" t="n">
        <v>0.25</v>
      </c>
      <c r="F5" s="4" t="n">
        <v>0.06872499999999999</v>
      </c>
      <c r="G5" s="4">
        <f>$C$5 + $C$6 * (1 - EXP(-E5/$C$8)) / (E5/$C$8) + $C$7 * ((1 - EXP(-E5/$C$8)) / (E5/$C$8) - EXP(-E5/$C$8))</f>
        <v/>
      </c>
      <c r="H5" s="18">
        <f>POWER(F5-G5, 2)</f>
        <v/>
      </c>
    </row>
    <row r="6">
      <c r="B6" s="3" t="inlineStr">
        <is>
          <t>beta1 (Slope)</t>
        </is>
      </c>
      <c r="C6" s="3" t="n">
        <v>-0.011183</v>
      </c>
      <c r="E6" s="3" t="n">
        <v>0.5</v>
      </c>
      <c r="F6" s="4" t="n">
        <v>0.070997</v>
      </c>
      <c r="G6" s="4">
        <f>$C$5 + $C$6 * (1 - EXP(-E6/$C$8)) / (E6/$C$8) + $C$7 * ((1 - EXP(-E6/$C$8)) / (E6/$C$8) - EXP(-E6/$C$8))</f>
        <v/>
      </c>
      <c r="H6" s="18">
        <f>POWER(F6-G6, 2)</f>
        <v/>
      </c>
    </row>
    <row r="7">
      <c r="B7" s="3" t="inlineStr">
        <is>
          <t>beta2 (Curvature)</t>
        </is>
      </c>
      <c r="C7" s="3" t="n">
        <v>-0.010132</v>
      </c>
      <c r="E7" s="3" t="n">
        <v>1</v>
      </c>
      <c r="F7" s="4" t="n">
        <v>0.070232</v>
      </c>
      <c r="G7" s="4">
        <f>$C$5 + $C$6 * (1 - EXP(-E7/$C$8)) / (E7/$C$8) + $C$7 * ((1 - EXP(-E7/$C$8)) / (E7/$C$8) - EXP(-E7/$C$8))</f>
        <v/>
      </c>
      <c r="H7" s="18">
        <f>POWER(F7-G7, 2)</f>
        <v/>
      </c>
    </row>
    <row r="8">
      <c r="B8" s="3" t="inlineStr">
        <is>
          <t>lambda (Decay)</t>
        </is>
      </c>
      <c r="C8" s="3" t="n">
        <v>2.000166</v>
      </c>
      <c r="E8" s="3" t="n">
        <v>2</v>
      </c>
      <c r="F8" s="4" t="n">
        <v>0.07044</v>
      </c>
      <c r="G8" s="4">
        <f>$C$5 + $C$6 * (1 - EXP(-E8/$C$8)) / (E8/$C$8) + $C$7 * ((1 - EXP(-E8/$C$8)) / (E8/$C$8) - EXP(-E8/$C$8))</f>
        <v/>
      </c>
      <c r="H8" s="18">
        <f>POWER(F8-G8, 2)</f>
        <v/>
      </c>
    </row>
    <row r="9">
      <c r="E9" s="3" t="n">
        <v>3</v>
      </c>
      <c r="F9" s="4" t="n">
        <v>0.071349</v>
      </c>
      <c r="G9" s="4">
        <f>$C$5 + $C$6 * (1 - EXP(-E9/$C$8)) / (E9/$C$8) + $C$7 * ((1 - EXP(-E9/$C$8)) / (E9/$C$8) - EXP(-E9/$C$8))</f>
        <v/>
      </c>
      <c r="H9" s="18">
        <f>POWER(F9-G9, 2)</f>
        <v/>
      </c>
    </row>
    <row r="10">
      <c r="E10" s="3" t="n">
        <v>5</v>
      </c>
      <c r="F10" s="4" t="n">
        <v>0.07434399999999999</v>
      </c>
      <c r="G10" s="4">
        <f>$C$5 + $C$6 * (1 - EXP(-E10/$C$8)) / (E10/$C$8) + $C$7 * ((1 - EXP(-E10/$C$8)) / (E10/$C$8) - EXP(-E10/$C$8))</f>
        <v/>
      </c>
      <c r="H10" s="18">
        <f>POWER(F10-G10, 2)</f>
        <v/>
      </c>
    </row>
    <row r="11">
      <c r="E11" s="3" t="n">
        <v>7</v>
      </c>
      <c r="F11" s="4" t="n">
        <v>0.07437100000000001</v>
      </c>
      <c r="G11" s="4">
        <f>$C$5 + $C$6 * (1 - EXP(-E11/$C$8)) / (E11/$C$8) + $C$7 * ((1 - EXP(-E11/$C$8)) / (E11/$C$8) - EXP(-E11/$C$8))</f>
        <v/>
      </c>
      <c r="H11" s="18">
        <f>POWER(F11-G11, 2)</f>
        <v/>
      </c>
    </row>
    <row r="12">
      <c r="E12" s="3" t="n">
        <v>10</v>
      </c>
      <c r="F12" s="4" t="n">
        <v>0.077303</v>
      </c>
      <c r="G12" s="4">
        <f>$C$5 + $C$6 * (1 - EXP(-E12/$C$8)) / (E12/$C$8) + $C$7 * ((1 - EXP(-E12/$C$8)) / (E12/$C$8) - EXP(-E12/$C$8))</f>
        <v/>
      </c>
      <c r="H12" s="18">
        <f>POWER(F12-G12, 2)</f>
        <v/>
      </c>
    </row>
    <row r="13">
      <c r="E13" s="3" t="n">
        <v>15</v>
      </c>
      <c r="F13" s="4" t="n">
        <v>0.07829700000000001</v>
      </c>
      <c r="G13" s="4">
        <f>$C$5 + $C$6 * (1 - EXP(-E13/$C$8)) / (E13/$C$8) + $C$7 * ((1 - EXP(-E13/$C$8)) / (E13/$C$8) - EXP(-E13/$C$8))</f>
        <v/>
      </c>
      <c r="H13" s="18">
        <f>POWER(F13-G13, 2)</f>
        <v/>
      </c>
    </row>
    <row r="14">
      <c r="E14" s="3" t="n">
        <v>20</v>
      </c>
      <c r="F14" s="4" t="n">
        <v>0.079555</v>
      </c>
      <c r="G14" s="4">
        <f>$C$5 + $C$6 * (1 - EXP(-E14/$C$8)) / (E14/$C$8) + $C$7 * ((1 - EXP(-E14/$C$8)) / (E14/$C$8) - EXP(-E14/$C$8))</f>
        <v/>
      </c>
      <c r="H14" s="18">
        <f>POWER(F14-G14, 2)</f>
        <v/>
      </c>
    </row>
    <row r="15">
      <c r="E15" s="3" t="n">
        <v>30</v>
      </c>
      <c r="F15" s="4" t="n">
        <v>0.077819</v>
      </c>
      <c r="G15" s="4">
        <f>$C$5 + $C$6 * (1 - EXP(-E15/$C$8)) / (E15/$C$8) + $C$7 * ((1 - EXP(-E15/$C$8)) / (E15/$C$8) - EXP(-E15/$C$8))</f>
        <v/>
      </c>
      <c r="H15" s="18">
        <f>POWER(F15-G15, 2)</f>
        <v/>
      </c>
    </row>
    <row r="16"/>
    <row r="17">
      <c r="E17" s="9" t="inlineStr">
        <is>
          <t>RMSE</t>
        </is>
      </c>
      <c r="F17" s="10" t="n"/>
      <c r="G17" s="10" t="n"/>
      <c r="H17" s="19">
        <f>SQRT(AVERAGE(H5:H15))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2026-07-03T11:30:26Z</dcterms:created>
  <dcterms:modified xmlns:dcterms="http://purl.org/dc/terms/" xmlns:xsi="http://www.w3.org/2001/XMLSchema-instance" xsi:type="dcterms:W3CDTF">2026-07-03T11:30:27Z</dcterms:modified>
</cp:coreProperties>
</file>